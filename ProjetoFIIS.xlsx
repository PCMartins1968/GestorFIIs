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o\"/>
    </mc:Choice>
  </mc:AlternateContent>
  <xr:revisionPtr revIDLastSave="0" documentId="8_{B1D1D42A-8FA5-4F84-A050-465DEF06D0D3}" xr6:coauthVersionLast="47" xr6:coauthVersionMax="47" xr10:uidLastSave="{00000000-0000-0000-0000-000000000000}"/>
  <bookViews>
    <workbookView xWindow="-108" yWindow="-108" windowWidth="23256" windowHeight="12456" xr2:uid="{F2D4B27C-4B5D-4185-B421-15ACE2FEC53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2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<sst xmlns="http://schemas.openxmlformats.org/spreadsheetml/2006/main" count="69" uniqueCount="33">
  <si>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</si>
  <si>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</si>
  <si>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</si>
  <si>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</t>
  </si>
  <si>
    <t>Patrimônio Acumulado</t>
  </si>
  <si>
    <t>Diveidendos Mensai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</si>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</sst>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6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19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21" xfId="0" applyNumberFormat="1" applyFill="1" applyBorder="1" applyAlignment="1">
      <alignment horizontal="center"/>
    </xf>
    <xf numFmtId="164" fontId="2" fillId="0" borderId="20" xfId="1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8" fontId="2" fillId="6" borderId="9" xfId="0" applyNumberFormat="1" applyFont="1" applyFill="1" applyBorder="1" applyAlignment="1">
      <alignment horizontal="center"/>
    </xf>
    <xf numFmtId="8" fontId="2" fillId="6" borderId="12" xfId="0" applyNumberFormat="1" applyFont="1" applyFill="1" applyBorder="1" applyAlignment="1">
      <alignment horizontal="center"/>
    </xf>
    <xf numFmtId="0" fontId="7" fillId="6" borderId="5" xfId="0" applyFont="1" applyFill="1" applyBorder="1" applyAlignment="1">
      <alignment horizontal="left" indent="3"/>
    </xf>
    <xf numFmtId="0" fontId="7" fillId="6" borderId="6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8" xfId="0" applyFont="1" applyFill="1" applyBorder="1" applyAlignment="1">
      <alignment horizontal="left" indent="3"/>
    </xf>
    <xf numFmtId="0" fontId="7" fillId="6" borderId="10" xfId="0" applyFont="1" applyFill="1" applyBorder="1" applyAlignment="1">
      <alignment horizontal="left" indent="3"/>
    </xf>
    <xf numFmtId="0" fontId="7" fillId="6" borderId="11" xfId="0" applyFont="1" applyFill="1" applyBorder="1" applyAlignment="1">
      <alignment horizontal="left" indent="3"/>
    </xf>
    <xf numFmtId="0" fontId="8" fillId="6" borderId="7" xfId="0" applyFont="1" applyFill="1" applyBorder="1" applyAlignment="1">
      <alignment horizontal="left" indent="3"/>
    </xf>
    <xf numFmtId="0" fontId="8" fillId="6" borderId="8" xfId="0" applyFont="1" applyFill="1" applyBorder="1" applyAlignment="1">
      <alignment horizontal="left" indent="3"/>
    </xf>
    <xf numFmtId="0" fontId="8" fillId="6" borderId="10" xfId="0" applyFont="1" applyFill="1" applyBorder="1" applyAlignment="1">
      <alignment horizontal="left" indent="3"/>
    </xf>
    <xf numFmtId="0" fontId="8" fillId="6" borderId="11" xfId="0" applyFont="1" applyFill="1" applyBorder="1" applyAlignment="1">
      <alignment horizontal="left" indent="3"/>
    </xf>
    <xf numFmtId="0" fontId="7" fillId="3" borderId="13" xfId="0" applyFont="1" applyFill="1" applyBorder="1" applyAlignment="1">
      <alignment horizontal="left" indent="3"/>
    </xf>
    <xf numFmtId="0" fontId="7" fillId="3" borderId="16" xfId="0" applyFont="1" applyFill="1" applyBorder="1" applyAlignment="1">
      <alignment horizontal="left" indent="3"/>
    </xf>
    <xf numFmtId="0" fontId="7" fillId="3" borderId="18" xfId="0" applyFont="1" applyFill="1" applyBorder="1" applyAlignment="1">
      <alignment horizontal="left" indent="3"/>
    </xf>
    <xf numFmtId="0" fontId="3" fillId="5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0" fillId="6" borderId="12" xfId="0" applyNumberFormat="1" applyFill="1" applyBorder="1" applyAlignment="1">
      <alignment horizontal="center"/>
    </xf>
    <xf numFmtId="0" fontId="4" fillId="4" borderId="0" xfId="3"/>
    <xf numFmtId="0" fontId="0" fillId="6" borderId="0" xfId="0" applyFill="1"/>
    <xf numFmtId="0" fontId="4" fillId="4" borderId="0" xfId="3" applyAlignment="1">
      <alignment horizontal="center"/>
    </xf>
    <xf numFmtId="0" fontId="2" fillId="6" borderId="0" xfId="0" applyFont="1" applyFill="1"/>
    <xf numFmtId="164" fontId="2" fillId="6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164" fontId="2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5" fillId="8" borderId="0" xfId="0" applyFont="1" applyFill="1"/>
    <xf numFmtId="0" fontId="5" fillId="8" borderId="0" xfId="0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57C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CD0-8097-DD4FF2E7516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APP!$D$36:$D$41</c:f>
              <c:numCache>
                <c:formatCode>"R$"\ 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40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F-4CD0-8097-DD4FF2E75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160020</xdr:rowOff>
    </xdr:from>
    <xdr:to>
      <xdr:col>3</xdr:col>
      <xdr:colOff>990600</xdr:colOff>
      <xdr:row>8</xdr:row>
      <xdr:rowOff>175260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7338515-785A-57FE-A654-2C2596667310}"/>
            </a:ext>
          </a:extLst>
        </xdr:cNvPr>
        <xdr:cNvGrpSpPr/>
      </xdr:nvGrpSpPr>
      <xdr:grpSpPr>
        <a:xfrm>
          <a:off x="182880" y="160020"/>
          <a:ext cx="6187440" cy="1478280"/>
          <a:chOff x="205740" y="175260"/>
          <a:chExt cx="5440680" cy="147828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56B14143-A531-5631-8D97-5AEBBD9DE4F3}"/>
              </a:ext>
            </a:extLst>
          </xdr:cNvPr>
          <xdr:cNvSpPr/>
        </xdr:nvSpPr>
        <xdr:spPr>
          <a:xfrm>
            <a:off x="205740" y="175260"/>
            <a:ext cx="5440680" cy="1478280"/>
          </a:xfrm>
          <a:prstGeom prst="roundRect">
            <a:avLst/>
          </a:prstGeom>
          <a:solidFill>
            <a:srgbClr val="57C58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B8250862-6F53-1EBB-23C0-722EEF7E4AA5}"/>
              </a:ext>
            </a:extLst>
          </xdr:cNvPr>
          <xdr:cNvSpPr/>
        </xdr:nvSpPr>
        <xdr:spPr>
          <a:xfrm>
            <a:off x="259080" y="220980"/>
            <a:ext cx="5334000" cy="1386840"/>
          </a:xfrm>
          <a:prstGeom prst="roundRect">
            <a:avLst/>
          </a:prstGeom>
          <a:solidFill>
            <a:schemeClr val="accent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FE1F2D0-2917-57BB-8AB1-43A0D95F1297}"/>
              </a:ext>
            </a:extLst>
          </xdr:cNvPr>
          <xdr:cNvSpPr/>
        </xdr:nvSpPr>
        <xdr:spPr>
          <a:xfrm>
            <a:off x="1875214" y="251243"/>
            <a:ext cx="3304111" cy="1103635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5400" b="1" cap="none" spc="50">
                <a:ln w="9525" cmpd="sng">
                  <a:solidFill>
                    <a:schemeClr val="accent1"/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Bauhaus 93" panose="04030905020B02020C02" pitchFamily="82" charset="0"/>
              </a:rPr>
              <a:t>PC INVEST</a:t>
            </a:r>
          </a:p>
        </xdr:txBody>
      </xdr:sp>
      <xdr:pic>
        <xdr:nvPicPr>
          <xdr:cNvPr id="10" name="Gráfico 9" descr="Cofrinho com preenchimento sólido">
            <a:extLst>
              <a:ext uri="{FF2B5EF4-FFF2-40B4-BE49-F238E27FC236}">
                <a16:creationId xmlns:a16="http://schemas.microsoft.com/office/drawing/2014/main" id="{AB52AB55-7B41-C985-BF42-42B2D6475F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51884" y="43434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190500</xdr:colOff>
      <xdr:row>42</xdr:row>
      <xdr:rowOff>125730</xdr:rowOff>
    </xdr:from>
    <xdr:to>
      <xdr:col>4</xdr:col>
      <xdr:colOff>0</xdr:colOff>
      <xdr:row>55</xdr:row>
      <xdr:rowOff>22860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6E1FD21-B580-4865-3AFF-B5EA0A92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4160-2A32-43DB-942C-953CD3A58D16}">
  <dimension ref="A10:E42"/>
  <sheetViews>
    <sheetView showGridLines="0" tabSelected="1" workbookViewId="0">
      <selection activeCell="C32" sqref="C32"/>
    </sheetView>
  </sheetViews>
  <sheetFormatPr defaultColWidth="0" defaultRowHeight="14.4" x14ac:dyDescent="0.3"/>
  <cols>
    <col min="1" max="1" width="3" bestFit="1" customWidth="1"/>
    <col min="2" max="2" width="43.21875" customWidth="1"/>
    <col min="3" max="3" width="32.21875" customWidth="1"/>
    <col min="4" max="4" width="14.77734375" customWidth="1"/>
    <col min="5" max="5" width="4.33203125" customWidth="1"/>
    <col min="6" max="8" width="4.33203125" hidden="1" customWidth="1"/>
    <col min="9" max="16384" width="4.33203125" hidden="1"/>
  </cols>
  <sheetData>
    <row r="10" spans="2:4" ht="15" thickBot="1" x14ac:dyDescent="0.35"/>
    <row r="11" spans="2:4" ht="18.600000000000001" thickBot="1" x14ac:dyDescent="0.35">
      <c r="B11" s="4" t="s">
        <v>16</v>
      </c>
      <c r="C11" s="31"/>
      <c r="D11" s="5"/>
    </row>
    <row r="12" spans="2:4" ht="16.2" thickBot="1" x14ac:dyDescent="0.35">
      <c r="B12" s="18" t="s">
        <v>13</v>
      </c>
      <c r="C12" s="19"/>
      <c r="D12" s="6">
        <v>4200</v>
      </c>
    </row>
    <row r="13" spans="2:4" ht="16.2" thickBot="1" x14ac:dyDescent="0.35">
      <c r="B13" s="20" t="s">
        <v>14</v>
      </c>
      <c r="C13" s="21"/>
      <c r="D13" s="7">
        <v>6.0000000000000001E-3</v>
      </c>
    </row>
    <row r="14" spans="2:4" ht="16.2" thickBot="1" x14ac:dyDescent="0.35">
      <c r="B14" s="22" t="s">
        <v>15</v>
      </c>
      <c r="C14" s="23"/>
      <c r="D14" s="35">
        <f>D12*30%</f>
        <v>1260</v>
      </c>
    </row>
    <row r="15" spans="2:4" ht="15" thickBot="1" x14ac:dyDescent="0.35"/>
    <row r="16" spans="2:4" ht="19.8" customHeight="1" thickBot="1" x14ac:dyDescent="0.35">
      <c r="B16" s="32" t="s">
        <v>0</v>
      </c>
      <c r="C16" s="33"/>
      <c r="D16" s="34"/>
    </row>
    <row r="17" spans="1:4" ht="16.2" thickBot="1" x14ac:dyDescent="0.35">
      <c r="B17" s="18" t="s">
        <v>1</v>
      </c>
      <c r="C17" s="19"/>
      <c r="D17" s="13">
        <v>200</v>
      </c>
    </row>
    <row r="18" spans="1:4" ht="16.2" thickBot="1" x14ac:dyDescent="0.35">
      <c r="B18" s="20" t="s">
        <v>2</v>
      </c>
      <c r="C18" s="21"/>
      <c r="D18" s="14">
        <v>5</v>
      </c>
    </row>
    <row r="19" spans="1:4" ht="16.2" thickBot="1" x14ac:dyDescent="0.35">
      <c r="B19" s="20" t="s">
        <v>3</v>
      </c>
      <c r="C19" s="21"/>
      <c r="D19" s="15">
        <v>1.0789999999999999E-2</v>
      </c>
    </row>
    <row r="20" spans="1:4" ht="16.2" thickBot="1" x14ac:dyDescent="0.35">
      <c r="B20" s="24" t="s">
        <v>4</v>
      </c>
      <c r="C20" s="25"/>
      <c r="D20" s="16">
        <f>FV(taxa_mensal,qtd_anos*12,-aporte)</f>
        <v>16755.382799697527</v>
      </c>
    </row>
    <row r="21" spans="1:4" ht="16.2" thickBot="1" x14ac:dyDescent="0.35">
      <c r="B21" s="26" t="s">
        <v>5</v>
      </c>
      <c r="C21" s="27"/>
      <c r="D21" s="17">
        <f>patrimonio*rendimento_carteira</f>
        <v>100.53229679818516</v>
      </c>
    </row>
    <row r="22" spans="1:4" ht="15" thickBot="1" x14ac:dyDescent="0.35"/>
    <row r="23" spans="1:4" ht="18" x14ac:dyDescent="0.3">
      <c r="B23" s="32" t="s">
        <v>11</v>
      </c>
      <c r="C23" s="33"/>
      <c r="D23" s="2" t="s">
        <v>12</v>
      </c>
    </row>
    <row r="24" spans="1:4" ht="16.2" thickBot="1" x14ac:dyDescent="0.35">
      <c r="A24" s="1">
        <v>2</v>
      </c>
      <c r="B24" s="28" t="s">
        <v>6</v>
      </c>
      <c r="C24" s="8">
        <f>FV($D$19,$A24*12,-$D$17)</f>
        <v>5445.5254595290435</v>
      </c>
      <c r="D24" s="11">
        <f>C24*rendimento_carteira</f>
        <v>32.673152757174265</v>
      </c>
    </row>
    <row r="25" spans="1:4" ht="16.2" thickBot="1" x14ac:dyDescent="0.35">
      <c r="A25" s="1">
        <v>5</v>
      </c>
      <c r="B25" s="29" t="s">
        <v>7</v>
      </c>
      <c r="C25" s="9">
        <f>FV($D$19,$A25*12,-$D$17)</f>
        <v>16755.382799697527</v>
      </c>
      <c r="D25" s="11">
        <f>C25*rendimento_carteira</f>
        <v>100.53229679818516</v>
      </c>
    </row>
    <row r="26" spans="1:4" ht="16.2" thickBot="1" x14ac:dyDescent="0.35">
      <c r="A26" s="1">
        <v>10</v>
      </c>
      <c r="B26" s="29" t="s">
        <v>8</v>
      </c>
      <c r="C26" s="9">
        <f>FV($D$19,$A26*12,-$D$17)</f>
        <v>48656.842506034438</v>
      </c>
      <c r="D26" s="11">
        <f>C26*rendimento_carteira</f>
        <v>291.94105503620665</v>
      </c>
    </row>
    <row r="27" spans="1:4" ht="16.2" thickBot="1" x14ac:dyDescent="0.35">
      <c r="A27" s="1">
        <v>20</v>
      </c>
      <c r="B27" s="29" t="s">
        <v>9</v>
      </c>
      <c r="C27" s="9">
        <f>FV($D$19,$A27*12,-$D$17)</f>
        <v>225039.68001941612</v>
      </c>
      <c r="D27" s="11">
        <f>C27*rendimento_carteira</f>
        <v>1350.2380801164968</v>
      </c>
    </row>
    <row r="28" spans="1:4" ht="16.2" thickBot="1" x14ac:dyDescent="0.35">
      <c r="A28" s="1">
        <v>30</v>
      </c>
      <c r="B28" s="30" t="s">
        <v>10</v>
      </c>
      <c r="C28" s="10">
        <f>FV($D$19,$A28*12,-$D$17)</f>
        <v>864433.93100094295</v>
      </c>
      <c r="D28" s="12">
        <f>C28*rendimento_carteira</f>
        <v>5186.6035860056581</v>
      </c>
    </row>
    <row r="32" spans="1:4" x14ac:dyDescent="0.3">
      <c r="B32" s="36" t="s">
        <v>19</v>
      </c>
      <c r="C32" s="38" t="s">
        <v>29</v>
      </c>
      <c r="D32" s="36"/>
    </row>
    <row r="33" spans="2:4" x14ac:dyDescent="0.3">
      <c r="B33" s="39" t="s">
        <v>18</v>
      </c>
      <c r="C33" s="40">
        <f>aporte</f>
        <v>200</v>
      </c>
      <c r="D33" s="37"/>
    </row>
    <row r="35" spans="2:4" x14ac:dyDescent="0.3">
      <c r="B35" s="42" t="s">
        <v>20</v>
      </c>
      <c r="C35" s="42" t="s">
        <v>21</v>
      </c>
      <c r="D35" s="42" t="s">
        <v>22</v>
      </c>
    </row>
    <row r="36" spans="2:4" x14ac:dyDescent="0.3">
      <c r="B36" s="3" t="s">
        <v>23</v>
      </c>
      <c r="C36" s="45">
        <f>VLOOKUP($C$32&amp;"-"&amp;B36,Planilha2!$A:$D,4,FALSE)</f>
        <v>0.5</v>
      </c>
      <c r="D36" s="41">
        <f>C36*$C$33</f>
        <v>100</v>
      </c>
    </row>
    <row r="37" spans="2:4" x14ac:dyDescent="0.3">
      <c r="B37" s="3" t="s">
        <v>24</v>
      </c>
      <c r="C37" s="45">
        <f>VLOOKUP($C$32&amp;"-"&amp;B37,Planilha2!$A:$D,4,FALSE)</f>
        <v>0.1</v>
      </c>
      <c r="D37" s="41">
        <f t="shared" ref="D37:D41" si="0">C37*$C$33</f>
        <v>20</v>
      </c>
    </row>
    <row r="38" spans="2:4" x14ac:dyDescent="0.3">
      <c r="B38" s="3" t="s">
        <v>25</v>
      </c>
      <c r="C38" s="45">
        <f>VLOOKUP($C$32&amp;"-"&amp;B38,Planilha2!$A:$D,4,FALSE)</f>
        <v>0.05</v>
      </c>
      <c r="D38" s="41">
        <f t="shared" si="0"/>
        <v>10</v>
      </c>
    </row>
    <row r="39" spans="2:4" x14ac:dyDescent="0.3">
      <c r="B39" s="3" t="s">
        <v>26</v>
      </c>
      <c r="C39" s="45">
        <f>VLOOKUP($C$32&amp;"-"&amp;B39,Planilha2!$A:$D,4,FALSE)</f>
        <v>0.05</v>
      </c>
      <c r="D39" s="41">
        <f t="shared" si="0"/>
        <v>10</v>
      </c>
    </row>
    <row r="40" spans="2:4" x14ac:dyDescent="0.3">
      <c r="B40" s="3" t="s">
        <v>27</v>
      </c>
      <c r="C40" s="45">
        <f>VLOOKUP($C$32&amp;"-"&amp;B40,Planilha2!$A:$D,4,FALSE)</f>
        <v>0.2</v>
      </c>
      <c r="D40" s="41">
        <f t="shared" si="0"/>
        <v>40</v>
      </c>
    </row>
    <row r="41" spans="2:4" x14ac:dyDescent="0.3">
      <c r="B41" s="3" t="s">
        <v>28</v>
      </c>
      <c r="C41" s="45">
        <f>VLOOKUP($C$32&amp;"-"&amp;B41,Planilha2!$A:$D,4,FALSE)</f>
        <v>0.1</v>
      </c>
      <c r="D41" s="41">
        <f t="shared" si="0"/>
        <v>20</v>
      </c>
    </row>
    <row r="42" spans="2:4" x14ac:dyDescent="0.3">
      <c r="B42" s="43"/>
      <c r="C42" s="43"/>
      <c r="D42" s="44">
        <f>SUM(D36:D41)</f>
        <v>200</v>
      </c>
    </row>
  </sheetData>
  <mergeCells count="11">
    <mergeCell ref="B17:C17"/>
    <mergeCell ref="B18:C18"/>
    <mergeCell ref="B19:C19"/>
    <mergeCell ref="B20:C20"/>
    <mergeCell ref="B21:C21"/>
    <mergeCell ref="B23:C23"/>
    <mergeCell ref="B11:D11"/>
    <mergeCell ref="B12:C12"/>
    <mergeCell ref="B13:C13"/>
    <mergeCell ref="B14:C14"/>
    <mergeCell ref="B16:D16"/>
  </mergeCells>
  <dataValidations count="1">
    <dataValidation type="list" allowBlank="1" showInputMessage="1" showErrorMessage="1" sqref="C32" xr:uid="{FAC01448-464E-4F4B-A037-D69F0055DEC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F1F9-4E86-432B-969B-4D84E5A50678}">
  <dimension ref="A2:D20"/>
  <sheetViews>
    <sheetView workbookViewId="0">
      <selection activeCell="A2" sqref="A2:D2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</cols>
  <sheetData>
    <row r="2" spans="1:4" x14ac:dyDescent="0.3">
      <c r="A2" s="50" t="s">
        <v>31</v>
      </c>
      <c r="B2" s="50" t="s">
        <v>19</v>
      </c>
      <c r="C2" s="50" t="s">
        <v>20</v>
      </c>
      <c r="D2" s="51" t="s">
        <v>30</v>
      </c>
    </row>
    <row r="3" spans="1:4" x14ac:dyDescent="0.3">
      <c r="A3" t="str">
        <f>B3&amp;"-"&amp;C3</f>
        <v>Conservador-PAPEL</v>
      </c>
      <c r="B3" t="s">
        <v>17</v>
      </c>
      <c r="C3" s="3" t="s">
        <v>23</v>
      </c>
      <c r="D3" s="45">
        <v>0.3</v>
      </c>
    </row>
    <row r="4" spans="1:4" x14ac:dyDescent="0.3">
      <c r="A4" t="str">
        <f t="shared" ref="A4:A20" si="0">B4&amp;"-"&amp;C4</f>
        <v>Conservador-TIJOLO</v>
      </c>
      <c r="B4" t="s">
        <v>17</v>
      </c>
      <c r="C4" s="3" t="s">
        <v>24</v>
      </c>
      <c r="D4" s="45">
        <v>0.5</v>
      </c>
    </row>
    <row r="5" spans="1:4" x14ac:dyDescent="0.3">
      <c r="A5" t="str">
        <f t="shared" si="0"/>
        <v>Conservador-HÍBRIDOS</v>
      </c>
      <c r="B5" t="s">
        <v>17</v>
      </c>
      <c r="C5" s="3" t="s">
        <v>25</v>
      </c>
      <c r="D5" s="45">
        <v>0.1</v>
      </c>
    </row>
    <row r="6" spans="1:4" x14ac:dyDescent="0.3">
      <c r="A6" t="str">
        <f t="shared" si="0"/>
        <v>Conservador-FOFs</v>
      </c>
      <c r="B6" t="s">
        <v>17</v>
      </c>
      <c r="C6" s="3" t="s">
        <v>26</v>
      </c>
      <c r="D6" s="45">
        <v>0.1</v>
      </c>
    </row>
    <row r="7" spans="1:4" x14ac:dyDescent="0.3">
      <c r="A7" t="str">
        <f t="shared" si="0"/>
        <v>Conservador-DESENVOLVIMENTO</v>
      </c>
      <c r="B7" t="s">
        <v>17</v>
      </c>
      <c r="C7" s="3" t="s">
        <v>27</v>
      </c>
      <c r="D7" s="45">
        <v>0</v>
      </c>
    </row>
    <row r="8" spans="1:4" ht="15" thickBot="1" x14ac:dyDescent="0.35">
      <c r="A8" s="46" t="str">
        <f t="shared" si="0"/>
        <v>Conservador-HOTELARIAS</v>
      </c>
      <c r="B8" s="46" t="s">
        <v>17</v>
      </c>
      <c r="C8" s="47" t="s">
        <v>28</v>
      </c>
      <c r="D8" s="48">
        <v>0</v>
      </c>
    </row>
    <row r="9" spans="1:4" x14ac:dyDescent="0.3">
      <c r="A9" t="str">
        <f t="shared" si="0"/>
        <v>Moderado-PAPEL</v>
      </c>
      <c r="B9" t="s">
        <v>32</v>
      </c>
      <c r="C9" s="3" t="s">
        <v>23</v>
      </c>
      <c r="D9" s="49">
        <v>0.32</v>
      </c>
    </row>
    <row r="10" spans="1:4" x14ac:dyDescent="0.3">
      <c r="A10" t="str">
        <f t="shared" si="0"/>
        <v>Moderado-TIJOLO</v>
      </c>
      <c r="B10" t="s">
        <v>32</v>
      </c>
      <c r="C10" s="3" t="s">
        <v>24</v>
      </c>
      <c r="D10" s="49">
        <v>0.35</v>
      </c>
    </row>
    <row r="11" spans="1:4" x14ac:dyDescent="0.3">
      <c r="A11" t="str">
        <f t="shared" si="0"/>
        <v>Moderado-HÍBRIDOS</v>
      </c>
      <c r="B11" t="s">
        <v>32</v>
      </c>
      <c r="C11" s="3" t="s">
        <v>25</v>
      </c>
      <c r="D11" s="49">
        <v>0.08</v>
      </c>
    </row>
    <row r="12" spans="1:4" x14ac:dyDescent="0.3">
      <c r="A12" t="str">
        <f t="shared" si="0"/>
        <v>Moderado-FOFs</v>
      </c>
      <c r="B12" t="s">
        <v>32</v>
      </c>
      <c r="C12" s="3" t="s">
        <v>26</v>
      </c>
      <c r="D12" s="49">
        <v>0.05</v>
      </c>
    </row>
    <row r="13" spans="1:4" x14ac:dyDescent="0.3">
      <c r="A13" t="str">
        <f t="shared" si="0"/>
        <v>Moderado-DESENVOLVIMENTO</v>
      </c>
      <c r="B13" t="s">
        <v>32</v>
      </c>
      <c r="C13" s="3" t="s">
        <v>27</v>
      </c>
      <c r="D13" s="49">
        <v>0.1</v>
      </c>
    </row>
    <row r="14" spans="1:4" ht="15" thickBot="1" x14ac:dyDescent="0.35">
      <c r="A14" s="46" t="str">
        <f t="shared" si="0"/>
        <v>Moderado-HOTELARIAS</v>
      </c>
      <c r="B14" s="46" t="s">
        <v>32</v>
      </c>
      <c r="C14" s="47" t="s">
        <v>28</v>
      </c>
      <c r="D14" s="48">
        <v>0.1</v>
      </c>
    </row>
    <row r="15" spans="1:4" x14ac:dyDescent="0.3">
      <c r="A15" t="str">
        <f t="shared" si="0"/>
        <v>Agressivo-PAPEL</v>
      </c>
      <c r="B15" t="s">
        <v>29</v>
      </c>
      <c r="C15" s="3" t="s">
        <v>23</v>
      </c>
      <c r="D15" s="49">
        <v>0.5</v>
      </c>
    </row>
    <row r="16" spans="1:4" x14ac:dyDescent="0.3">
      <c r="A16" t="str">
        <f t="shared" si="0"/>
        <v>Agressivo-TIJOLO</v>
      </c>
      <c r="B16" t="s">
        <v>29</v>
      </c>
      <c r="C16" s="3" t="s">
        <v>24</v>
      </c>
      <c r="D16" s="49">
        <v>0.1</v>
      </c>
    </row>
    <row r="17" spans="1:4" x14ac:dyDescent="0.3">
      <c r="A17" t="str">
        <f t="shared" si="0"/>
        <v>Agressivo-HÍBRIDOS</v>
      </c>
      <c r="B17" t="s">
        <v>29</v>
      </c>
      <c r="C17" s="3" t="s">
        <v>25</v>
      </c>
      <c r="D17" s="49">
        <v>0.05</v>
      </c>
    </row>
    <row r="18" spans="1:4" x14ac:dyDescent="0.3">
      <c r="A18" t="str">
        <f t="shared" si="0"/>
        <v>Agressivo-FOFs</v>
      </c>
      <c r="B18" t="s">
        <v>29</v>
      </c>
      <c r="C18" s="3" t="s">
        <v>26</v>
      </c>
      <c r="D18" s="49">
        <v>0.05</v>
      </c>
    </row>
    <row r="19" spans="1:4" x14ac:dyDescent="0.3">
      <c r="A19" t="str">
        <f t="shared" si="0"/>
        <v>Agressivo-DESENVOLVIMENTO</v>
      </c>
      <c r="B19" t="s">
        <v>29</v>
      </c>
      <c r="C19" s="3" t="s">
        <v>27</v>
      </c>
      <c r="D19" s="49">
        <v>0.2</v>
      </c>
    </row>
    <row r="20" spans="1:4" x14ac:dyDescent="0.3">
      <c r="A20" t="str">
        <f t="shared" si="0"/>
        <v>Agressivo-HOTELARIAS</v>
      </c>
      <c r="B20" t="s">
        <v>29</v>
      </c>
      <c r="C20" s="3" t="s">
        <v>28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Martins</dc:creator>
  <cp:lastModifiedBy>Paulo Martins</cp:lastModifiedBy>
  <dcterms:created xsi:type="dcterms:W3CDTF">2026-01-13T23:35:56Z</dcterms:created>
  <dcterms:modified xsi:type="dcterms:W3CDTF">2026-01-22T16:30:42Z</dcterms:modified>
</cp:coreProperties>
</file>